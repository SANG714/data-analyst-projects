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fc028dadaf485c1/Documents/"/>
    </mc:Choice>
  </mc:AlternateContent>
  <xr:revisionPtr revIDLastSave="0" documentId="8_{EB6CBA80-5E01-42A8-BFA9-E441B1BFFAD4}" xr6:coauthVersionLast="47" xr6:coauthVersionMax="47" xr10:uidLastSave="{00000000-0000-0000-0000-000000000000}"/>
  <bookViews>
    <workbookView xWindow="-108" yWindow="-108" windowWidth="23256" windowHeight="12456" xr2:uid="{D78B885C-51EB-48E3-A401-2019E8B60348}"/>
  </bookViews>
  <sheets>
    <sheet name="Job-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C7" i="1"/>
</calcChain>
</file>

<file path=xl/sharedStrings.xml><?xml version="1.0" encoding="utf-8"?>
<sst xmlns="http://schemas.openxmlformats.org/spreadsheetml/2006/main" count="39" uniqueCount="33">
  <si>
    <t>job_title_short</t>
  </si>
  <si>
    <t>count</t>
  </si>
  <si>
    <t>avg_salary_per_role</t>
  </si>
  <si>
    <t>experience_level</t>
  </si>
  <si>
    <t>avg_salary_by_experience</t>
  </si>
  <si>
    <t>job_location</t>
  </si>
  <si>
    <t>avg_salary_by_location</t>
  </si>
  <si>
    <t>work_type</t>
  </si>
  <si>
    <t>avg_salary</t>
  </si>
  <si>
    <t>Data Scientist</t>
  </si>
  <si>
    <t>Senior</t>
  </si>
  <si>
    <t>Mumbai</t>
  </si>
  <si>
    <t>HYBRID</t>
  </si>
  <si>
    <t>Data Engineer</t>
  </si>
  <si>
    <t>Data Analyst</t>
  </si>
  <si>
    <t>Mid</t>
  </si>
  <si>
    <t>Remote</t>
  </si>
  <si>
    <t>REMOTE</t>
  </si>
  <si>
    <t>BI Analyst</t>
  </si>
  <si>
    <t>Entry</t>
  </si>
  <si>
    <t>Hyderabad</t>
  </si>
  <si>
    <t>ON-SITE</t>
  </si>
  <si>
    <t>Business Analyst</t>
  </si>
  <si>
    <t>Kolkata</t>
  </si>
  <si>
    <t>Delhi</t>
  </si>
  <si>
    <t>Total</t>
  </si>
  <si>
    <t>Overall average salary</t>
  </si>
  <si>
    <t>Bangalore</t>
  </si>
  <si>
    <t>Total jobs: 150</t>
  </si>
  <si>
    <t>Average salary : 11.4L</t>
  </si>
  <si>
    <t>Highest paid level: Senior</t>
  </si>
  <si>
    <t>Top paying location: Mumbai</t>
  </si>
  <si>
    <t>Highest paying work type: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</si>
</sst>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2" fillId="0" borderId="0" xfId="0" applyNumberFormat="1" applyFont="1"/>
    <xf numFmtId="44" fontId="2" fillId="0" borderId="0" xfId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20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 [$₹-4009]\ * #,##0.00_ ;_ [$₹-4009]\ * \-#,##0.00_ ;_ [$₹-4009]\ * &quot;-&quot;??_ ;_ @_ 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jobs per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'Job-Dashboard'!$C$1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'Job-Dashboard'!$B$2:$B$6</c:f>
              <c:strCache>
                <c:ptCount val="5"/>
                <c:pt idx="0">
                  <c:v>Data Scientist</c:v>
                </c:pt>
                <c:pt idx="1">
                  <c:v>Data Engineer</c:v>
                </c:pt>
                <c:pt idx="2">
                  <c:v>BI Analyst</c:v>
                </c:pt>
                <c:pt idx="3">
                  <c:v>Business Analyst</c:v>
                </c:pt>
                <c:pt idx="4">
                  <c:v>Data Analyst</c:v>
                </c:pt>
              </c:strCache>
            </c:strRef>
          </c:cat>
          <c:val>
            <c:numRef>
              <c:f>'Job-Dashboard'!$C$2:$C$6</c:f>
              <c:numCache>
                <c:formatCode>General</c:formatCode>
                <c:ptCount val="5"/>
                <c:pt idx="0">
                  <c:v>33</c:v>
                </c:pt>
                <c:pt idx="1">
                  <c:v>32</c:v>
                </c:pt>
                <c:pt idx="2">
                  <c:v>31</c:v>
                </c:pt>
                <c:pt idx="3">
                  <c:v>28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F-4479-894E-F5F6043756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3603440"/>
        <c:axId val="133603920"/>
      </c:barChart>
      <c:catAx>
        <c:axId val="133603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3920"/>
        <c:crosses val="autoZero"/>
        <c:auto val="1"/>
        <c:lblAlgn val="ctr"/>
        <c:lblOffset val="100"/>
        <c:noMultiLvlLbl val="0"/>
      </c:catAx>
      <c:valAx>
        <c:axId val="13360392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360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according to the job role</a:t>
            </a:r>
          </a:p>
        </c:rich>
      </c:tx>
      <c:layout>
        <c:manualLayout>
          <c:xMode val="edge"/>
          <c:yMode val="edge"/>
          <c:x val="0.12060763451289283"/>
          <c:y val="4.97992931637334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'Job-Dashboard'!$J$1</c:f>
              <c:strCache>
                <c:ptCount val="1"/>
                <c:pt idx="0">
                  <c:v>avg_salary_per_role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09548945988947"/>
                      <c:h val="0.12551041206980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F16-476B-B5B2-6EFD5B73737B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67259369834189"/>
                      <c:h val="0.12551041206980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F16-476B-B5B2-6EFD5B73737B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67259369834189"/>
                      <c:h val="0.12551041206980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F16-476B-B5B2-6EFD5B73737B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88404157911567"/>
                      <c:h val="0.12551041206980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16-476B-B5B2-6EFD5B73737B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67259369834189"/>
                      <c:h val="0.12551041206980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F16-476B-B5B2-6EFD5B7373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'Job-Dashboard'!$I$2:$I$6</c:f>
              <c:strCache>
                <c:ptCount val="5"/>
                <c:pt idx="0">
                  <c:v>Data Scientist</c:v>
                </c:pt>
                <c:pt idx="1">
                  <c:v>Data Analyst</c:v>
                </c:pt>
                <c:pt idx="2">
                  <c:v>Data Engineer</c:v>
                </c:pt>
                <c:pt idx="3">
                  <c:v>BI Analyst</c:v>
                </c:pt>
                <c:pt idx="4">
                  <c:v>Business Analyst</c:v>
                </c:pt>
              </c:strCache>
            </c:strRef>
          </c:cat>
          <c:val>
            <c:numRef>
              <c:f>'Job-Dashboard'!$J$2:$J$6</c:f>
              <c:numCache>
                <c:formatCode>_ [$₹-4009]\ * #,##0.00_ ;_ [$₹-4009]\ * \-#,##0.00_ ;_ [$₹-4009]\ * "-"??_ ;_ @_ </c:formatCode>
                <c:ptCount val="5"/>
                <c:pt idx="0">
                  <c:v>1191387.5</c:v>
                </c:pt>
                <c:pt idx="1">
                  <c:v>1183323.21</c:v>
                </c:pt>
                <c:pt idx="2">
                  <c:v>1160104.71</c:v>
                </c:pt>
                <c:pt idx="3">
                  <c:v>1099379</c:v>
                </c:pt>
                <c:pt idx="4">
                  <c:v>1088156.46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16-476B-B5B2-6EFD5B7373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3609680"/>
        <c:axId val="133608720"/>
      </c:barChart>
      <c:catAx>
        <c:axId val="13360968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8720"/>
        <c:crosses val="autoZero"/>
        <c:auto val="1"/>
        <c:lblAlgn val="ctr"/>
        <c:lblOffset val="100"/>
        <c:noMultiLvlLbl val="0"/>
      </c:catAx>
      <c:valAx>
        <c:axId val="133608720"/>
        <c:scaling>
          <c:orientation val="minMax"/>
        </c:scaling>
        <c:delete val="1"/>
        <c:axPos val="t"/>
        <c:numFmt formatCode="&quot;₹&quot;\ #,##0" sourceLinked="0"/>
        <c:majorTickMark val="out"/>
        <c:minorTickMark val="none"/>
        <c:tickLblPos val="nextTo"/>
        <c:crossAx val="13360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according</a:t>
            </a:r>
            <a:r>
              <a:rPr lang="en-US" baseline="0"/>
              <a:t> to the experience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80388581220513E-2"/>
          <c:y val="0.32522498177119979"/>
          <c:w val="0.92983922283755893"/>
          <c:h val="0.5823845829122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'Job-Dashboard'!$O$1</c:f>
              <c:strCache>
                <c:ptCount val="1"/>
                <c:pt idx="0">
                  <c:v>avg_salary_by_experience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'Job-Dashboard'!$N$2:$N$4</c:f>
              <c:strCache>
                <c:ptCount val="3"/>
                <c:pt idx="0">
                  <c:v>Senior</c:v>
                </c:pt>
                <c:pt idx="1">
                  <c:v>Mid</c:v>
                </c:pt>
                <c:pt idx="2">
                  <c:v>Entry</c:v>
                </c:pt>
              </c:strCache>
            </c:strRef>
          </c:cat>
          <c:val>
            <c:numRef>
              <c:f>'Job-Dashboard'!$O$2:$O$4</c:f>
              <c:numCache>
                <c:formatCode>_("₹"* #,##0.00_);_("₹"* \(#,##0.00\);_("₹"* "-"??_);_(@_)</c:formatCode>
                <c:ptCount val="3"/>
                <c:pt idx="0">
                  <c:v>1193028.3600000001</c:v>
                </c:pt>
                <c:pt idx="1">
                  <c:v>1136499.8899999999</c:v>
                </c:pt>
                <c:pt idx="2">
                  <c:v>1107928.18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D-4174-A171-851D7FA05B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623120"/>
        <c:axId val="133620240"/>
      </c:barChart>
      <c:catAx>
        <c:axId val="1336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0240"/>
        <c:crosses val="autoZero"/>
        <c:auto val="1"/>
        <c:lblAlgn val="ctr"/>
        <c:lblOffset val="100"/>
        <c:noMultiLvlLbl val="0"/>
      </c:catAx>
      <c:valAx>
        <c:axId val="133620240"/>
        <c:scaling>
          <c:orientation val="minMax"/>
        </c:scaling>
        <c:delete val="1"/>
        <c:axPos val="l"/>
        <c:numFmt formatCode="_(&quot;₹&quot;* #,##0_);_(&quot;₹&quot;* \(#,##0\);_(&quot;₹&quot;* &quot;-&quot;_);_(@_)" sourceLinked="0"/>
        <c:majorTickMark val="none"/>
        <c:minorTickMark val="none"/>
        <c:tickLblPos val="nextTo"/>
        <c:crossAx val="13362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location(in lakhs)</a:t>
            </a:r>
          </a:p>
        </c:rich>
      </c:tx>
      <c:layout>
        <c:manualLayout>
          <c:xMode val="edge"/>
          <c:yMode val="edge"/>
          <c:x val="0.23841907295588485"/>
          <c:y val="4.035805860260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'Job-Dashboard'!$T$1</c:f>
              <c:strCache>
                <c:ptCount val="1"/>
                <c:pt idx="0">
                  <c:v>avg_salary_by_location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₹&quot;\ #,##0;[Red]&quot;₹&quot;\ 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'Job-Dashboard'!$S$2:$S$7</c:f>
              <c:strCache>
                <c:ptCount val="6"/>
                <c:pt idx="0">
                  <c:v>Mumbai</c:v>
                </c:pt>
                <c:pt idx="1">
                  <c:v>Remote</c:v>
                </c:pt>
                <c:pt idx="2">
                  <c:v>Hyderabad</c:v>
                </c:pt>
                <c:pt idx="3">
                  <c:v>Kolkata</c:v>
                </c:pt>
                <c:pt idx="4">
                  <c:v>Delhi</c:v>
                </c:pt>
                <c:pt idx="5">
                  <c:v>Bangalore</c:v>
                </c:pt>
              </c:strCache>
            </c:strRef>
          </c:cat>
          <c:val>
            <c:numRef>
              <c:f>'Job-Dashboard'!$T$2:$T$7</c:f>
              <c:numCache>
                <c:formatCode>_("₹"* #,##0.00_);_("₹"* \(#,##0.00\);_("₹"* "-"??_);_(@_)</c:formatCode>
                <c:ptCount val="6"/>
                <c:pt idx="0">
                  <c:v>1234986.8400000001</c:v>
                </c:pt>
                <c:pt idx="1">
                  <c:v>1176599.3799999999</c:v>
                </c:pt>
                <c:pt idx="2">
                  <c:v>1162053.3700000001</c:v>
                </c:pt>
                <c:pt idx="3">
                  <c:v>1133188.97</c:v>
                </c:pt>
                <c:pt idx="4">
                  <c:v>1107324.5900000001</c:v>
                </c:pt>
                <c:pt idx="5">
                  <c:v>1091251.4099999999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6-46A5-B81E-02FE6E1A9F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3638000"/>
        <c:axId val="133633200"/>
      </c:barChart>
      <c:catAx>
        <c:axId val="13363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3200"/>
        <c:crosses val="autoZero"/>
        <c:auto val="1"/>
        <c:lblAlgn val="ctr"/>
        <c:lblOffset val="100"/>
        <c:noMultiLvlLbl val="0"/>
      </c:catAx>
      <c:valAx>
        <c:axId val="133633200"/>
        <c:scaling>
          <c:orientation val="minMax"/>
        </c:scaling>
        <c:delete val="1"/>
        <c:axPos val="t"/>
        <c:numFmt formatCode="#,##0_);\(#,##0\)" sourceLinked="0"/>
        <c:majorTickMark val="none"/>
        <c:minorTickMark val="none"/>
        <c:tickLblPos val="nextTo"/>
        <c:crossAx val="13363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Average salary according to work type</a:t>
            </a:r>
          </a:p>
          <a:p>
            <a:pPr algn="ctr">
              <a:defRPr/>
            </a:pPr>
            <a:endParaRPr lang="en-IN"/>
          </a:p>
        </c:rich>
      </c:tx>
      <c:layout>
        <c:manualLayout>
          <c:xMode val="edge"/>
          <c:yMode val="edge"/>
          <c:x val="0.168080790646386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19410339123438"/>
          <c:y val="0.18361408960571643"/>
          <c:w val="0.7657801837270341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'Job-Dashboard'!$Z$1</c:f>
              <c:strCache>
                <c:ptCount val="1"/>
                <c:pt idx="0">
                  <c:v>avg_salary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38336519593052"/>
                      <c:h val="0.125026070178357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6DC-4A44-AFEE-160013C9505F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38336519593052"/>
                      <c:h val="0.125026070178357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DC-4A44-AFEE-160013C9505F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66467344237074"/>
                      <c:h val="0.125026070178357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6DC-4A44-AFEE-160013C9505F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'Job-Dashboard'!$Y$2:$Y$4</c:f>
              <c:strCache>
                <c:ptCount val="3"/>
                <c:pt idx="0">
                  <c:v>HYBRID</c:v>
                </c:pt>
                <c:pt idx="1">
                  <c:v>REMOTE</c:v>
                </c:pt>
                <c:pt idx="2">
                  <c:v>ON-SITE</c:v>
                </c:pt>
              </c:strCache>
            </c:strRef>
          </c:cat>
          <c:val>
            <c:numRef>
              <c:f>'Job-Dashboard'!$Z$2:$Z$4</c:f>
              <c:numCache>
                <c:formatCode>_("₹"* #,##0.00_);_("₹"* \(#,##0.00\);_("₹"* "-"??_);_(@_)</c:formatCode>
                <c:ptCount val="3"/>
                <c:pt idx="0">
                  <c:v>1194255.79</c:v>
                </c:pt>
                <c:pt idx="1">
                  <c:v>1135691.1599999999</c:v>
                </c:pt>
                <c:pt idx="2">
                  <c:v>1110851.72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C-4A44-AFEE-160013C95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445280"/>
        <c:axId val="199459200"/>
      </c:barChart>
      <c:catAx>
        <c:axId val="19944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9200"/>
        <c:crosses val="autoZero"/>
        <c:auto val="1"/>
        <c:lblAlgn val="ctr"/>
        <c:lblOffset val="100"/>
        <c:noMultiLvlLbl val="0"/>
      </c:catAx>
      <c:valAx>
        <c:axId val="199459200"/>
        <c:scaling>
          <c:orientation val="minMax"/>
        </c:scaling>
        <c:delete val="1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crossAx val="19944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217715</xdr:rowOff>
    </xdr:from>
    <xdr:to>
      <xdr:col>6</xdr:col>
      <xdr:colOff>0</xdr:colOff>
      <xdr:row>23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CFCE9-5AA0-4987-89CF-DBD2934D6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</xdr:colOff>
      <xdr:row>11</xdr:row>
      <xdr:rowOff>200398</xdr:rowOff>
    </xdr:from>
    <xdr:to>
      <xdr:col>10</xdr:col>
      <xdr:colOff>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7C5539-4942-4495-963C-54FB87249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6197</xdr:colOff>
      <xdr:row>12</xdr:row>
      <xdr:rowOff>19879</xdr:rowOff>
    </xdr:from>
    <xdr:to>
      <xdr:col>14</xdr:col>
      <xdr:colOff>2334381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0170AB-A116-4915-9F9F-C7AC1DCFF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6931</xdr:colOff>
      <xdr:row>12</xdr:row>
      <xdr:rowOff>7308</xdr:rowOff>
    </xdr:from>
    <xdr:to>
      <xdr:col>20</xdr:col>
      <xdr:colOff>22838</xdr:colOff>
      <xdr:row>23</xdr:row>
      <xdr:rowOff>10173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3A410A-75DE-4B67-974E-0940DB95B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13470</xdr:colOff>
      <xdr:row>11</xdr:row>
      <xdr:rowOff>213701</xdr:rowOff>
    </xdr:from>
    <xdr:to>
      <xdr:col>27</xdr:col>
      <xdr:colOff>0</xdr:colOff>
      <xdr:row>22</xdr:row>
      <xdr:rowOff>228709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A287F2-CD5B-49F5-B0CD-FD1A364FC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gion\Downloads\jobs_dataset.xlsx" TargetMode="External"/><Relationship Id="rId1" Type="http://schemas.openxmlformats.org/officeDocument/2006/relationships/externalLinkPath" Target="file:///C:\Users\Legion\Downloads\job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bs_data"/>
      <sheetName val="raw_data"/>
      <sheetName val="Dashboard_data"/>
      <sheetName val="Job-Dashboard"/>
    </sheetNames>
    <sheetDataSet>
      <sheetData sheetId="0"/>
      <sheetData sheetId="1"/>
      <sheetData sheetId="2"/>
      <sheetData sheetId="3">
        <row r="1">
          <cell r="C1" t="str">
            <v>count</v>
          </cell>
          <cell r="J1" t="str">
            <v>avg_salary_per_role</v>
          </cell>
          <cell r="O1" t="str">
            <v>avg_salary_by_experience</v>
          </cell>
          <cell r="T1" t="str">
            <v>avg_salary_by_location</v>
          </cell>
          <cell r="Z1" t="str">
            <v>avg_salary</v>
          </cell>
        </row>
        <row r="2">
          <cell r="B2" t="str">
            <v>Data Scientist</v>
          </cell>
          <cell r="C2">
            <v>33</v>
          </cell>
          <cell r="I2" t="str">
            <v>Data Scientist</v>
          </cell>
          <cell r="J2">
            <v>1191387.5</v>
          </cell>
          <cell r="N2" t="str">
            <v>Senior</v>
          </cell>
          <cell r="O2">
            <v>1193028.3600000001</v>
          </cell>
          <cell r="S2" t="str">
            <v>Mumbai</v>
          </cell>
          <cell r="T2">
            <v>1234986.8400000001</v>
          </cell>
          <cell r="Y2" t="str">
            <v>HYBRID</v>
          </cell>
          <cell r="Z2">
            <v>1194255.79</v>
          </cell>
        </row>
        <row r="3">
          <cell r="B3" t="str">
            <v>Data Engineer</v>
          </cell>
          <cell r="C3">
            <v>32</v>
          </cell>
          <cell r="I3" t="str">
            <v>Data Analyst</v>
          </cell>
          <cell r="J3">
            <v>1183323.21</v>
          </cell>
          <cell r="N3" t="str">
            <v>Mid</v>
          </cell>
          <cell r="O3">
            <v>1136499.8899999999</v>
          </cell>
          <cell r="S3" t="str">
            <v>Remote</v>
          </cell>
          <cell r="T3">
            <v>1176599.3799999999</v>
          </cell>
          <cell r="Y3" t="str">
            <v>REMOTE</v>
          </cell>
          <cell r="Z3">
            <v>1135691.1599999999</v>
          </cell>
        </row>
        <row r="4">
          <cell r="B4" t="str">
            <v>BI Analyst</v>
          </cell>
          <cell r="C4">
            <v>31</v>
          </cell>
          <cell r="I4" t="str">
            <v>Data Engineer</v>
          </cell>
          <cell r="J4">
            <v>1160104.71</v>
          </cell>
          <cell r="N4" t="str">
            <v>Entry</v>
          </cell>
          <cell r="O4">
            <v>1107928.18</v>
          </cell>
          <cell r="S4" t="str">
            <v>Hyderabad</v>
          </cell>
          <cell r="T4">
            <v>1162053.3700000001</v>
          </cell>
          <cell r="Y4" t="str">
            <v>ON-SITE</v>
          </cell>
          <cell r="Z4">
            <v>1110851.72</v>
          </cell>
        </row>
        <row r="5">
          <cell r="B5" t="str">
            <v>Business Analyst</v>
          </cell>
          <cell r="C5">
            <v>28</v>
          </cell>
          <cell r="I5" t="str">
            <v>BI Analyst</v>
          </cell>
          <cell r="J5">
            <v>1099379</v>
          </cell>
          <cell r="S5" t="str">
            <v>Kolkata</v>
          </cell>
          <cell r="T5">
            <v>1133188.97</v>
          </cell>
        </row>
        <row r="6">
          <cell r="B6" t="str">
            <v>Data Analyst</v>
          </cell>
          <cell r="C6">
            <v>26</v>
          </cell>
          <cell r="I6" t="str">
            <v>Business Analyst</v>
          </cell>
          <cell r="J6">
            <v>1088156.46</v>
          </cell>
          <cell r="S6" t="str">
            <v>Delhi</v>
          </cell>
          <cell r="T6">
            <v>1107324.5900000001</v>
          </cell>
        </row>
        <row r="7">
          <cell r="S7" t="str">
            <v>Bangalore</v>
          </cell>
          <cell r="T7">
            <v>1091251.4099999999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A208C-F463-4B73-A0D9-A2D3AF4CC746}" name="Table17" displayName="Table17" ref="B1:C7" totalsRowShown="0" headerRowDxfId="19" dataDxfId="18">
  <autoFilter ref="B1:C7" xr:uid="{A27EA26A-F64B-43C7-853E-66D859906CED}"/>
  <tableColumns count="2">
    <tableColumn id="1" xr3:uid="{B42CE3CE-1B24-4AED-AEFD-F967A0DA5AF0}" name="job_title_short" dataDxfId="17"/>
    <tableColumn id="2" xr3:uid="{EE3FBA58-4729-4465-A83A-5AE27D73FA01}" name="count" dataDxfId="1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A62297-A1CD-4CD0-ADB2-C9F9C44CF8D9}" name="Table28" displayName="Table28" ref="I1:J7" totalsRowShown="0" headerRowDxfId="15" dataDxfId="14">
  <autoFilter ref="I1:J7" xr:uid="{210F6AEF-0A56-4563-8157-4BFAD0703D7A}"/>
  <tableColumns count="2">
    <tableColumn id="1" xr3:uid="{F9DB97B6-CBE8-4E2C-9D26-C0A990049F58}" name="job_title_short" dataDxfId="13"/>
    <tableColumn id="2" xr3:uid="{B5CA282F-6DBC-4EB8-8286-0BE1C5CB24C9}" name="avg_salary_per_role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5E37E-8461-442B-9C7C-390CBC1FA9CB}" name="Table39" displayName="Table39" ref="N1:O4" totalsRowShown="0" headerRowDxfId="11" dataDxfId="10">
  <autoFilter ref="N1:O4" xr:uid="{92830F0B-ECC5-46D2-ADB7-9574A4989C82}"/>
  <sortState xmlns:xlrd2="http://schemas.microsoft.com/office/spreadsheetml/2017/richdata2" ref="N2:O4">
    <sortCondition descending="1" ref="O1:O4"/>
  </sortState>
  <tableColumns count="2">
    <tableColumn id="1" xr3:uid="{BC73391F-51CA-4156-89BC-DD9286503732}" name="experience_level" dataDxfId="9"/>
    <tableColumn id="2" xr3:uid="{B5B3B4BF-49A0-4C10-A256-22610FF3B86C}" name="avg_salary_by_experience" dataDxfId="8" dataCellStyle="Currency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32744B-5650-4250-B0D5-3CBA1EA85BA4}" name="Table410" displayName="Table410" ref="S1:T7" totalsRowShown="0" headerRowDxfId="7" dataDxfId="6">
  <autoFilter ref="S1:T7" xr:uid="{E45C5FEE-07B1-46B5-91EA-24FEC79A7D45}"/>
  <tableColumns count="2">
    <tableColumn id="1" xr3:uid="{8DD41D6E-4B5D-488C-B197-74CAB697BA2B}" name="job_location" dataDxfId="5"/>
    <tableColumn id="2" xr3:uid="{AF12A605-87AA-46EC-B087-20D9A0E00F61}" name="avg_salary_by_location" dataDxfId="4" dataCellStyle="Currency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1E2EB-8935-4047-9189-DB8BDB666114}" name="Table511" displayName="Table511" ref="Y1:Z4" totalsRowShown="0" headerRowDxfId="3" dataDxfId="2">
  <autoFilter ref="Y1:Z4" xr:uid="{48FE5033-0757-47F2-B92A-3BEE6F55941C}"/>
  <tableColumns count="2">
    <tableColumn id="1" xr3:uid="{19A61F87-9A70-4694-A63F-7842C9C27549}" name="work_type" dataDxfId="1"/>
    <tableColumn id="2" xr3:uid="{4BAB7E2F-9FB2-4327-B3EC-EC8E191D19A5}" name="avg_salary" dataDxfId="0" dataCellStyle="Currenc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0448-E1A0-4BB6-9188-C9AD5C2EB00D}">
  <dimension ref="B1:Z11"/>
  <sheetViews>
    <sheetView tabSelected="1" topLeftCell="N1" zoomScale="75" zoomScaleNormal="170" workbookViewId="0">
      <selection activeCell="R12" sqref="R12"/>
    </sheetView>
  </sheetViews>
  <sheetFormatPr defaultRowHeight="18" x14ac:dyDescent="0.35"/>
  <cols>
    <col min="2" max="2" width="23.21875" bestFit="1" customWidth="1"/>
    <col min="3" max="3" width="10.88671875" bestFit="1" customWidth="1"/>
    <col min="9" max="9" width="25" style="1" bestFit="1" customWidth="1"/>
    <col min="10" max="10" width="27.109375" style="1" bestFit="1" customWidth="1"/>
    <col min="11" max="12" width="9.77734375" style="1" customWidth="1"/>
    <col min="13" max="13" width="8.88671875" style="1"/>
    <col min="14" max="14" width="24.109375" style="1" bestFit="1" customWidth="1"/>
    <col min="15" max="15" width="34.109375" style="1" bestFit="1" customWidth="1"/>
    <col min="16" max="18" width="8.88671875" style="1"/>
    <col min="19" max="19" width="18.44140625" style="1" bestFit="1" customWidth="1"/>
    <col min="20" max="20" width="30.44140625" style="1" bestFit="1" customWidth="1"/>
    <col min="21" max="24" width="8.88671875" style="1"/>
    <col min="25" max="25" width="16.33203125" bestFit="1" customWidth="1"/>
    <col min="26" max="26" width="18.21875" customWidth="1"/>
  </cols>
  <sheetData>
    <row r="1" spans="2:26" x14ac:dyDescent="0.35">
      <c r="B1" s="1" t="s">
        <v>0</v>
      </c>
      <c r="C1" s="1" t="s">
        <v>1</v>
      </c>
      <c r="D1" s="1"/>
      <c r="E1" s="1"/>
      <c r="F1" s="1"/>
      <c r="G1" s="1"/>
      <c r="I1" s="1" t="s">
        <v>0</v>
      </c>
      <c r="J1" s="1" t="s">
        <v>2</v>
      </c>
      <c r="N1" s="1" t="s">
        <v>3</v>
      </c>
      <c r="O1" s="1" t="s">
        <v>4</v>
      </c>
      <c r="S1" s="1" t="s">
        <v>5</v>
      </c>
      <c r="T1" s="1" t="s">
        <v>6</v>
      </c>
      <c r="Y1" s="1" t="s">
        <v>7</v>
      </c>
      <c r="Z1" s="1" t="s">
        <v>8</v>
      </c>
    </row>
    <row r="2" spans="2:26" x14ac:dyDescent="0.35">
      <c r="B2" s="1" t="s">
        <v>9</v>
      </c>
      <c r="C2" s="1">
        <v>33</v>
      </c>
      <c r="D2" s="1"/>
      <c r="E2" s="1"/>
      <c r="F2" s="1"/>
      <c r="G2" s="1"/>
      <c r="I2" s="1" t="s">
        <v>9</v>
      </c>
      <c r="J2" s="2">
        <v>1191387.5</v>
      </c>
      <c r="K2" s="2"/>
      <c r="L2" s="2"/>
      <c r="N2" s="1" t="s">
        <v>10</v>
      </c>
      <c r="O2" s="3">
        <v>1193028.3600000001</v>
      </c>
      <c r="S2" s="1" t="s">
        <v>11</v>
      </c>
      <c r="T2" s="3">
        <v>1234986.8400000001</v>
      </c>
      <c r="Y2" s="1" t="s">
        <v>12</v>
      </c>
      <c r="Z2" s="3">
        <v>1194255.79</v>
      </c>
    </row>
    <row r="3" spans="2:26" x14ac:dyDescent="0.35">
      <c r="B3" s="1" t="s">
        <v>13</v>
      </c>
      <c r="C3" s="1">
        <v>32</v>
      </c>
      <c r="D3" s="1"/>
      <c r="E3" s="1"/>
      <c r="F3" s="1"/>
      <c r="G3" s="1"/>
      <c r="I3" s="1" t="s">
        <v>14</v>
      </c>
      <c r="J3" s="2">
        <v>1183323.21</v>
      </c>
      <c r="K3" s="2"/>
      <c r="L3" s="2"/>
      <c r="N3" s="1" t="s">
        <v>15</v>
      </c>
      <c r="O3" s="3">
        <v>1136499.8899999999</v>
      </c>
      <c r="S3" s="1" t="s">
        <v>16</v>
      </c>
      <c r="T3" s="3">
        <v>1176599.3799999999</v>
      </c>
      <c r="Y3" s="1" t="s">
        <v>17</v>
      </c>
      <c r="Z3" s="3">
        <v>1135691.1599999999</v>
      </c>
    </row>
    <row r="4" spans="2:26" x14ac:dyDescent="0.35">
      <c r="B4" s="1" t="s">
        <v>18</v>
      </c>
      <c r="C4" s="1">
        <v>31</v>
      </c>
      <c r="D4" s="1"/>
      <c r="E4" s="1"/>
      <c r="F4" s="1"/>
      <c r="G4" s="1"/>
      <c r="I4" s="1" t="s">
        <v>13</v>
      </c>
      <c r="J4" s="2">
        <v>1160104.71</v>
      </c>
      <c r="K4" s="2"/>
      <c r="L4" s="2"/>
      <c r="N4" s="1" t="s">
        <v>19</v>
      </c>
      <c r="O4" s="3">
        <v>1107928.18</v>
      </c>
      <c r="S4" s="1" t="s">
        <v>20</v>
      </c>
      <c r="T4" s="3">
        <v>1162053.3700000001</v>
      </c>
      <c r="Y4" s="1" t="s">
        <v>21</v>
      </c>
      <c r="Z4" s="3">
        <v>1110851.72</v>
      </c>
    </row>
    <row r="5" spans="2:26" x14ac:dyDescent="0.35">
      <c r="B5" s="1" t="s">
        <v>22</v>
      </c>
      <c r="C5" s="1">
        <v>28</v>
      </c>
      <c r="D5" s="1"/>
      <c r="E5" s="1"/>
      <c r="F5" s="1"/>
      <c r="G5" s="1"/>
      <c r="I5" s="1" t="s">
        <v>18</v>
      </c>
      <c r="J5" s="2">
        <v>1099379</v>
      </c>
      <c r="K5" s="2"/>
      <c r="L5" s="2"/>
      <c r="S5" s="1" t="s">
        <v>23</v>
      </c>
      <c r="T5" s="3">
        <v>1133188.97</v>
      </c>
      <c r="Y5" s="1"/>
      <c r="Z5" s="1"/>
    </row>
    <row r="6" spans="2:26" x14ac:dyDescent="0.35">
      <c r="B6" s="1" t="s">
        <v>14</v>
      </c>
      <c r="C6" s="1">
        <v>26</v>
      </c>
      <c r="D6" s="1"/>
      <c r="E6" s="1"/>
      <c r="F6" s="1"/>
      <c r="G6" s="1"/>
      <c r="I6" s="1" t="s">
        <v>22</v>
      </c>
      <c r="J6" s="2">
        <v>1088156.46</v>
      </c>
      <c r="K6" s="2"/>
      <c r="L6" s="2"/>
      <c r="S6" s="1" t="s">
        <v>24</v>
      </c>
      <c r="T6" s="3">
        <v>1107324.5900000001</v>
      </c>
      <c r="Y6" s="1"/>
      <c r="Z6" s="1"/>
    </row>
    <row r="7" spans="2:26" x14ac:dyDescent="0.35">
      <c r="B7" s="4" t="s">
        <v>25</v>
      </c>
      <c r="C7" s="4">
        <f>SUM(C2:C6)</f>
        <v>150</v>
      </c>
      <c r="D7" s="4"/>
      <c r="E7" s="4"/>
      <c r="F7" s="4"/>
      <c r="G7" s="4"/>
      <c r="I7" s="4" t="s">
        <v>26</v>
      </c>
      <c r="J7" s="5">
        <f>AVERAGE(J2:J6)</f>
        <v>1144470.176</v>
      </c>
      <c r="K7" s="5"/>
      <c r="L7" s="5"/>
      <c r="S7" s="1" t="s">
        <v>27</v>
      </c>
      <c r="T7" s="3">
        <v>1091251.4099999999</v>
      </c>
      <c r="Y7" s="1"/>
      <c r="Z7" s="1"/>
    </row>
    <row r="11" spans="2:26" ht="73.2" customHeight="1" x14ac:dyDescent="0.7">
      <c r="B11" s="6" t="s">
        <v>28</v>
      </c>
      <c r="C11" s="6"/>
      <c r="I11" s="7" t="s">
        <v>29</v>
      </c>
      <c r="J11" s="8"/>
      <c r="N11" s="6" t="s">
        <v>30</v>
      </c>
      <c r="O11" s="9"/>
      <c r="S11" s="10" t="s">
        <v>31</v>
      </c>
      <c r="T11" s="11"/>
      <c r="Y11" s="12" t="s">
        <v>32</v>
      </c>
      <c r="Z11" s="13"/>
    </row>
  </sheetData>
  <mergeCells count="5">
    <mergeCell ref="B11:C11"/>
    <mergeCell ref="I11:J11"/>
    <mergeCell ref="N11:O11"/>
    <mergeCell ref="S11:T11"/>
    <mergeCell ref="Y11:Z1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Job-Dashboard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SANGHITA CHAKRABORTY</dc:creator>
  <cp:lastModifiedBy>SANGHITA CHAKRABORTY</cp:lastModifiedBy>
  <dcterms:created xsi:type="dcterms:W3CDTF">2026-03-06T11:04:10Z</dcterms:created>
  <dcterms:modified xsi:type="dcterms:W3CDTF">2026-03-06T11:04:47Z</dcterms:modified>
</cp:coreProperties>
</file>